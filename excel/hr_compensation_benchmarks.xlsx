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ensation_Band_Model" sheetId="1" r:id="rId1"/>
    <sheet name="Attrition_Cost_Calculator" sheetId="2" r:id="rId2"/>
  </sheets>
  <calcPr calcId="124519" fullCalcOnLoad="1"/>
</workbook>
</file>

<file path=xl/sharedStrings.xml><?xml version="1.0" encoding="utf-8"?>
<sst xmlns="http://schemas.openxmlformats.org/spreadsheetml/2006/main" count="35" uniqueCount="24">
  <si>
    <t>Job Role</t>
  </si>
  <si>
    <t>Headcount</t>
  </si>
  <si>
    <t>Avg Monthly Income</t>
  </si>
  <si>
    <t>Band Midpoint</t>
  </si>
  <si>
    <t>Compa-Ratio</t>
  </si>
  <si>
    <t>Avg Overtime Hours</t>
  </si>
  <si>
    <t>HR Manager</t>
  </si>
  <si>
    <t>HR Specialist</t>
  </si>
  <si>
    <t>Laboratory Technician</t>
  </si>
  <si>
    <t>Marketing Analyst</t>
  </si>
  <si>
    <t>Marketing Manager</t>
  </si>
  <si>
    <t>Research Scientist</t>
  </si>
  <si>
    <t>Sales Executive</t>
  </si>
  <si>
    <t>Sales Representative</t>
  </si>
  <si>
    <t>Senior Engineer</t>
  </si>
  <si>
    <t>Software Engineer</t>
  </si>
  <si>
    <t>Leavers</t>
  </si>
  <si>
    <t>Avg Annual Salary</t>
  </si>
  <si>
    <t>Recruitment (0.3x)</t>
  </si>
  <si>
    <t>Training (0.2x)</t>
  </si>
  <si>
    <t>Lost Productivity (1.0x)</t>
  </si>
  <si>
    <t>Cost per Leaver</t>
  </si>
  <si>
    <t>Total Attrition Cost</t>
  </si>
  <si>
    <t>TOTAL</t>
  </si>
</sst>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6" width="2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>
        <v>42</v>
      </c>
      <c r="C2" s="3">
        <v>8919</v>
      </c>
      <c r="D2" s="3">
        <v>9000</v>
      </c>
      <c r="E2" s="4">
        <f>C2/D2</f>
        <v>0.991</v>
      </c>
      <c r="F2" s="2">
        <v>20</v>
      </c>
    </row>
    <row r="3" spans="1:6">
      <c r="A3" s="2" t="s">
        <v>7</v>
      </c>
      <c r="B3" s="2">
        <v>38</v>
      </c>
      <c r="C3" s="3">
        <v>5309</v>
      </c>
      <c r="D3" s="3">
        <v>5200</v>
      </c>
      <c r="E3" s="4">
        <f>C3/D3</f>
        <v>1.0209615384615385</v>
      </c>
      <c r="F3" s="2">
        <v>21.1</v>
      </c>
    </row>
    <row r="4" spans="1:6">
      <c r="A4" s="2" t="s">
        <v>8</v>
      </c>
      <c r="B4" s="2">
        <v>111</v>
      </c>
      <c r="C4" s="3">
        <v>4684</v>
      </c>
      <c r="D4" s="3">
        <v>4800</v>
      </c>
      <c r="E4" s="4">
        <f>C4/D4</f>
        <v>0.9758333333333333</v>
      </c>
      <c r="F4" s="2">
        <v>18.2</v>
      </c>
    </row>
    <row r="5" spans="1:6">
      <c r="A5" s="2" t="s">
        <v>9</v>
      </c>
      <c r="B5" s="2">
        <v>68</v>
      </c>
      <c r="C5" s="3">
        <v>5414</v>
      </c>
      <c r="D5" s="3">
        <v>5500</v>
      </c>
      <c r="E5" s="4">
        <f>C5/D5</f>
        <v>0.9843636363636363</v>
      </c>
      <c r="F5" s="2">
        <v>18.8</v>
      </c>
    </row>
    <row r="6" spans="1:6">
      <c r="A6" s="2" t="s">
        <v>10</v>
      </c>
      <c r="B6" s="2">
        <v>70</v>
      </c>
      <c r="C6" s="3">
        <v>9534</v>
      </c>
      <c r="D6" s="3">
        <v>9500</v>
      </c>
      <c r="E6" s="4">
        <f>C6/D6</f>
        <v>1.0035789473684211</v>
      </c>
      <c r="F6" s="2">
        <v>16.7</v>
      </c>
    </row>
    <row r="7" spans="1:6">
      <c r="A7" s="2" t="s">
        <v>11</v>
      </c>
      <c r="B7" s="2">
        <v>136</v>
      </c>
      <c r="C7" s="3">
        <v>6834</v>
      </c>
      <c r="D7" s="3">
        <v>7000</v>
      </c>
      <c r="E7" s="4">
        <f>C7/D7</f>
        <v>0.9762857142857143</v>
      </c>
      <c r="F7" s="2">
        <v>20</v>
      </c>
    </row>
    <row r="8" spans="1:6">
      <c r="A8" s="2" t="s">
        <v>12</v>
      </c>
      <c r="B8" s="2">
        <v>142</v>
      </c>
      <c r="C8" s="3">
        <v>6439</v>
      </c>
      <c r="D8" s="3">
        <v>6500</v>
      </c>
      <c r="E8" s="4">
        <f>C8/D8</f>
        <v>0.9906153846153846</v>
      </c>
      <c r="F8" s="2">
        <v>19.1</v>
      </c>
    </row>
    <row r="9" spans="1:6">
      <c r="A9" s="2" t="s">
        <v>13</v>
      </c>
      <c r="B9" s="2">
        <v>143</v>
      </c>
      <c r="C9" s="3">
        <v>4596</v>
      </c>
      <c r="D9" s="3">
        <v>4500</v>
      </c>
      <c r="E9" s="4">
        <f>C9/D9</f>
        <v>1.0213333333333334</v>
      </c>
      <c r="F9" s="2">
        <v>20.6</v>
      </c>
    </row>
    <row r="10" spans="1:6">
      <c r="A10" s="2" t="s">
        <v>14</v>
      </c>
      <c r="B10" s="2">
        <v>126</v>
      </c>
      <c r="C10" s="3">
        <v>11314</v>
      </c>
      <c r="D10" s="3">
        <v>11500</v>
      </c>
      <c r="E10" s="4">
        <f>C10/D10</f>
        <v>0.9838260869565217</v>
      </c>
      <c r="F10" s="2">
        <v>18.1</v>
      </c>
    </row>
    <row r="11" spans="1:6">
      <c r="A11" s="2" t="s">
        <v>15</v>
      </c>
      <c r="B11" s="2">
        <v>124</v>
      </c>
      <c r="C11" s="3">
        <v>8560</v>
      </c>
      <c r="D11" s="3">
        <v>8500</v>
      </c>
      <c r="E11" s="4">
        <f>C11/D11</f>
        <v>1.0070588235294118</v>
      </c>
      <c r="F11" s="2">
        <v>18.4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8" width="22.7109375" customWidth="1"/>
  </cols>
  <sheetData>
    <row r="1" spans="1:8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 s="2" t="s">
        <v>6</v>
      </c>
      <c r="B2" s="2">
        <v>9</v>
      </c>
      <c r="C2" s="3">
        <f>'Compensation_Band_Model'!C2*12</f>
        <v>107028.0</v>
      </c>
      <c r="D2" s="3">
        <f>C2*0.3</f>
        <v>32108.399999999998</v>
      </c>
      <c r="E2" s="3">
        <f>C2*0.2</f>
        <v>21405.600000000002</v>
      </c>
      <c r="F2" s="3">
        <f>C2*1.0</f>
        <v>107028.0</v>
      </c>
      <c r="G2" s="3">
        <f>SUM(D2:F2)</f>
        <v>160542.0</v>
      </c>
      <c r="H2" s="3">
        <f>B2*G2</f>
        <v>1444878.0</v>
      </c>
    </row>
    <row r="3" spans="1:8">
      <c r="A3" s="2" t="s">
        <v>7</v>
      </c>
      <c r="B3" s="2">
        <v>6</v>
      </c>
      <c r="C3" s="3">
        <f>'Compensation_Band_Model'!C3*12</f>
        <v>63708.0</v>
      </c>
      <c r="D3" s="3">
        <f>C3*0.3</f>
        <v>19112.399999999998</v>
      </c>
      <c r="E3" s="3">
        <f>C3*0.2</f>
        <v>12741.6</v>
      </c>
      <c r="F3" s="3">
        <f>C3*1.0</f>
        <v>63708.0</v>
      </c>
      <c r="G3" s="3">
        <f>SUM(D3:F3)</f>
        <v>95562.0</v>
      </c>
      <c r="H3" s="3">
        <f>B3*G3</f>
        <v>573372.0</v>
      </c>
    </row>
    <row r="4" spans="1:8">
      <c r="A4" s="2" t="s">
        <v>8</v>
      </c>
      <c r="B4" s="2">
        <v>16</v>
      </c>
      <c r="C4" s="3">
        <f>'Compensation_Band_Model'!C4*12</f>
        <v>56208.0</v>
      </c>
      <c r="D4" s="3">
        <f>C4*0.3</f>
        <v>16862.399999999998</v>
      </c>
      <c r="E4" s="3">
        <f>C4*0.2</f>
        <v>11241.6</v>
      </c>
      <c r="F4" s="3">
        <f>C4*1.0</f>
        <v>56208.0</v>
      </c>
      <c r="G4" s="3">
        <f>SUM(D4:F4)</f>
        <v>84312.0</v>
      </c>
      <c r="H4" s="3">
        <f>B4*G4</f>
        <v>1348992.0</v>
      </c>
    </row>
    <row r="5" spans="1:8">
      <c r="A5" s="2" t="s">
        <v>9</v>
      </c>
      <c r="B5" s="2">
        <v>17</v>
      </c>
      <c r="C5" s="3">
        <f>'Compensation_Band_Model'!C5*12</f>
        <v>64968.0</v>
      </c>
      <c r="D5" s="3">
        <f>C5*0.3</f>
        <v>19490.399999999998</v>
      </c>
      <c r="E5" s="3">
        <f>C5*0.2</f>
        <v>12993.6</v>
      </c>
      <c r="F5" s="3">
        <f>C5*1.0</f>
        <v>64968.0</v>
      </c>
      <c r="G5" s="3">
        <f>SUM(D5:F5)</f>
        <v>97452.0</v>
      </c>
      <c r="H5" s="3">
        <f>B5*G5</f>
        <v>1656684.0</v>
      </c>
    </row>
    <row r="6" spans="1:8">
      <c r="A6" s="2" t="s">
        <v>10</v>
      </c>
      <c r="B6" s="2">
        <v>15</v>
      </c>
      <c r="C6" s="3">
        <f>'Compensation_Band_Model'!C6*12</f>
        <v>114408.0</v>
      </c>
      <c r="D6" s="3">
        <f>C6*0.3</f>
        <v>34322.4</v>
      </c>
      <c r="E6" s="3">
        <f>C6*0.2</f>
        <v>22881.600000000002</v>
      </c>
      <c r="F6" s="3">
        <f>C6*1.0</f>
        <v>114408.0</v>
      </c>
      <c r="G6" s="3">
        <f>SUM(D6:F6)</f>
        <v>171612.0</v>
      </c>
      <c r="H6" s="3">
        <f>B6*G6</f>
        <v>2574180.0</v>
      </c>
    </row>
    <row r="7" spans="1:8">
      <c r="A7" s="2" t="s">
        <v>11</v>
      </c>
      <c r="B7" s="2">
        <v>19</v>
      </c>
      <c r="C7" s="3">
        <f>'Compensation_Band_Model'!C7*12</f>
        <v>82008.0</v>
      </c>
      <c r="D7" s="3">
        <f>C7*0.3</f>
        <v>24602.399999999998</v>
      </c>
      <c r="E7" s="3">
        <f>C7*0.2</f>
        <v>16401.600000000002</v>
      </c>
      <c r="F7" s="3">
        <f>C7*1.0</f>
        <v>82008.0</v>
      </c>
      <c r="G7" s="3">
        <f>SUM(D7:F7)</f>
        <v>123012.0</v>
      </c>
      <c r="H7" s="3">
        <f>B7*G7</f>
        <v>2337228.0</v>
      </c>
    </row>
    <row r="8" spans="1:8">
      <c r="A8" s="2" t="s">
        <v>12</v>
      </c>
      <c r="B8" s="2">
        <v>24</v>
      </c>
      <c r="C8" s="3">
        <f>'Compensation_Band_Model'!C8*12</f>
        <v>77268.0</v>
      </c>
      <c r="D8" s="3">
        <f>C8*0.3</f>
        <v>23180.399999999998</v>
      </c>
      <c r="E8" s="3">
        <f>C8*0.2</f>
        <v>15453.6</v>
      </c>
      <c r="F8" s="3">
        <f>C8*1.0</f>
        <v>77268.0</v>
      </c>
      <c r="G8" s="3">
        <f>SUM(D8:F8)</f>
        <v>115902.0</v>
      </c>
      <c r="H8" s="3">
        <f>B8*G8</f>
        <v>2781648.0</v>
      </c>
    </row>
    <row r="9" spans="1:8">
      <c r="A9" s="2" t="s">
        <v>13</v>
      </c>
      <c r="B9" s="2">
        <v>22</v>
      </c>
      <c r="C9" s="3">
        <f>'Compensation_Band_Model'!C9*12</f>
        <v>55152.0</v>
      </c>
      <c r="D9" s="3">
        <f>C9*0.3</f>
        <v>16545.6</v>
      </c>
      <c r="E9" s="3">
        <f>C9*0.2</f>
        <v>11030.400000000001</v>
      </c>
      <c r="F9" s="3">
        <f>C9*1.0</f>
        <v>55152.0</v>
      </c>
      <c r="G9" s="3">
        <f>SUM(D9:F9)</f>
        <v>82728.0</v>
      </c>
      <c r="H9" s="3">
        <f>B9*G9</f>
        <v>1820016.0</v>
      </c>
    </row>
    <row r="10" spans="1:8">
      <c r="A10" s="2" t="s">
        <v>14</v>
      </c>
      <c r="B10" s="2">
        <v>27</v>
      </c>
      <c r="C10" s="3">
        <f>'Compensation_Band_Model'!C10*12</f>
        <v>135768.0</v>
      </c>
      <c r="D10" s="3">
        <f>C10*0.3</f>
        <v>40730.4</v>
      </c>
      <c r="E10" s="3">
        <f>C10*0.2</f>
        <v>27153.600000000002</v>
      </c>
      <c r="F10" s="3">
        <f>C10*1.0</f>
        <v>135768.0</v>
      </c>
      <c r="G10" s="3">
        <f>SUM(D10:F10)</f>
        <v>203652.0</v>
      </c>
      <c r="H10" s="3">
        <f>B10*G10</f>
        <v>5498604.0</v>
      </c>
    </row>
    <row r="11" spans="1:8">
      <c r="A11" s="2" t="s">
        <v>15</v>
      </c>
      <c r="B11" s="2">
        <v>16</v>
      </c>
      <c r="C11" s="3">
        <f>'Compensation_Band_Model'!C11*12</f>
        <v>102720.0</v>
      </c>
      <c r="D11" s="3">
        <f>C11*0.3</f>
        <v>30816.0</v>
      </c>
      <c r="E11" s="3">
        <f>C11*0.2</f>
        <v>20544.0</v>
      </c>
      <c r="F11" s="3">
        <f>C11*1.0</f>
        <v>102720.0</v>
      </c>
      <c r="G11" s="3">
        <f>SUM(D11:F11)</f>
        <v>154080.0</v>
      </c>
      <c r="H11" s="3">
        <f>B11*G11</f>
        <v>2465280.0</v>
      </c>
    </row>
    <row r="12" spans="1:8">
      <c r="A12" s="1" t="s">
        <v>23</v>
      </c>
      <c r="B12" s="2">
        <f>SUM(B2:B11)</f>
        <v>171</v>
      </c>
      <c r="H12" s="3">
        <f>SUM(H2:H11)</f>
        <v>22500882.0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Compensation_Band_Model</vt:lpstr>
      <vt:lpstr>Attrition_Cost_Calculator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2026-10-03T03:36:05Z</dcterms:created>
  <dcterms:modified xsi:type="dcterms:W3CDTF">2026-10-03T03:36:05Z</dcterms:modified>
</cp:coreProperties>
</file>